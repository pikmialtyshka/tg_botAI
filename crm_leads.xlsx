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FE2F3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4" customWidth="1" min="3" max="3"/>
    <col width="16" customWidth="1" min="4" max="4"/>
    <col width="28" customWidth="1" min="5" max="5"/>
    <col width="28" customWidth="1" min="6" max="6"/>
    <col width="22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Имя</t>
        </is>
      </c>
      <c r="D1" s="1" t="inlineStr">
        <is>
          <t>Статус</t>
        </is>
      </c>
      <c r="E1" s="1" t="inlineStr">
        <is>
          <t>Последнее сообщение пользователя</t>
        </is>
      </c>
      <c r="F1" s="1" t="inlineStr">
        <is>
          <t>Последнее сообщение бота</t>
        </is>
      </c>
      <c r="G1" s="1" t="inlineStr">
        <is>
          <t>Создан</t>
        </is>
      </c>
      <c r="H1" s="1" t="inlineStr">
        <is>
          <t>Обновлён</t>
        </is>
      </c>
    </row>
    <row r="2">
      <c r="A2" t="n">
        <v>2</v>
      </c>
      <c r="B2" t="inlineStr">
        <is>
          <t>@dmitriiiy_22</t>
        </is>
      </c>
      <c r="C2" t="inlineStr">
        <is>
          <t>디마</t>
        </is>
      </c>
      <c r="D2" t="inlineStr">
        <is>
          <t>согласился</t>
        </is>
      </c>
      <c r="E2" t="inlineStr">
        <is>
          <t>2026-04-23 16:56:46</t>
        </is>
      </c>
      <c r="F2" t="inlineStr">
        <is>
          <t>2026-04-23 16:56:51</t>
        </is>
      </c>
      <c r="G2" t="inlineStr">
        <is>
          <t>2026-04-23 16:55:40</t>
        </is>
      </c>
      <c r="H2" t="inlineStr">
        <is>
          <t>2026-04-23 16:56:51</t>
        </is>
      </c>
    </row>
    <row r="3">
      <c r="A3" t="n">
        <v>1</v>
      </c>
      <c r="B3" t="inlineStr">
        <is>
          <t>@@dmitriiiy_22</t>
        </is>
      </c>
      <c r="D3" t="inlineStr">
        <is>
          <t>новый</t>
        </is>
      </c>
      <c r="F3" t="inlineStr">
        <is>
          <t>2026-04-23 16:55:10</t>
        </is>
      </c>
      <c r="G3" t="inlineStr">
        <is>
          <t>2026-04-23 16:55:10</t>
        </is>
      </c>
      <c r="H3" t="inlineStr">
        <is>
          <t>2026-04-23 16:55:10</t>
        </is>
      </c>
    </row>
    <row r="4">
      <c r="A4" t="n">
        <v>3</v>
      </c>
      <c r="B4" t="inlineStr">
        <is>
          <t>+79610469888</t>
        </is>
      </c>
      <c r="D4" t="inlineStr">
        <is>
          <t>новый</t>
        </is>
      </c>
      <c r="G4" t="inlineStr">
        <is>
          <t>2026-04-23 17:12:11</t>
        </is>
      </c>
      <c r="H4" t="inlineStr">
        <is>
          <t>2026-04-23 17:12:11</t>
        </is>
      </c>
    </row>
    <row r="5">
      <c r="A5" t="n">
        <v>4</v>
      </c>
      <c r="B5" t="inlineStr">
        <is>
          <t>@@pavlinaaar</t>
        </is>
      </c>
      <c r="D5" t="inlineStr">
        <is>
          <t>новый</t>
        </is>
      </c>
      <c r="G5" t="inlineStr">
        <is>
          <t>2026-04-23 17:15:32</t>
        </is>
      </c>
      <c r="H5" t="inlineStr">
        <is>
          <t>2026-04-23 17:15:32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2" t="inlineStr">
        <is>
          <t>Сводка по CRM</t>
        </is>
      </c>
    </row>
    <row r="3">
      <c r="A3" s="3" t="inlineStr">
        <is>
          <t>Всего контактов</t>
        </is>
      </c>
      <c r="B3" s="4">
        <f>COUNTA(Contacts!A:A)-1</f>
        <v/>
      </c>
    </row>
    <row r="4">
      <c r="A4" s="3" t="inlineStr">
        <is>
          <t>Согласился</t>
        </is>
      </c>
      <c r="B4" s="4">
        <f>COUNTIF(Contacts!D:D,"согласился")</f>
        <v/>
      </c>
    </row>
    <row r="5">
      <c r="A5" s="3" t="inlineStr">
        <is>
          <t>Отказался</t>
        </is>
      </c>
      <c r="B5" s="4">
        <f>COUNTIF(Contacts!D:D,"отказался")</f>
        <v/>
      </c>
    </row>
    <row r="6">
      <c r="A6" s="3" t="inlineStr">
        <is>
          <t>Не ответил</t>
        </is>
      </c>
      <c r="B6" s="4">
        <f>COUNTIF(Contacts!D:D,"не ответил")</f>
        <v/>
      </c>
    </row>
    <row r="7">
      <c r="A7" s="3" t="inlineStr">
        <is>
          <t>Согласился (%)</t>
        </is>
      </c>
      <c r="B7" s="5">
        <f>IF(B3&gt;0,B4/B3,0)</f>
        <v/>
      </c>
    </row>
    <row r="8">
      <c r="A8" s="3" t="inlineStr">
        <is>
          <t>Отказался (%)</t>
        </is>
      </c>
      <c r="B8" s="5">
        <f>IF(B3&gt;0,B5/B3,0)</f>
        <v/>
      </c>
    </row>
    <row r="9">
      <c r="A9" s="3" t="inlineStr">
        <is>
          <t>Не ответил (%)</t>
        </is>
      </c>
      <c r="B9" s="5">
        <f>IF(B3&gt;0,B6/B3,0)</f>
        <v/>
      </c>
    </row>
    <row r="10">
      <c r="A10" s="3" t="inlineStr">
        <is>
          <t>Обновлено</t>
        </is>
      </c>
      <c r="B10" s="4" t="inlineStr">
        <is>
          <t>2026-04-23 22:15:32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2026-04-23T16:49:58Z</dcterms:created>
  <dcterms:modified xsi:type="dcterms:W3CDTF">2026-04-23T17:15:32Z</dcterms:modified>
</cp:coreProperties>
</file>